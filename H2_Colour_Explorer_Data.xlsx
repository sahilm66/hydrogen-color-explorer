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ydrogen Research\03_Data\Raw_Originals\"/>
    </mc:Choice>
  </mc:AlternateContent>
  <xr:revisionPtr revIDLastSave="0" documentId="13_ncr:1_{1DB987F2-8898-4F1F-AD33-2AD6AE5D09B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EADME — How to Use" sheetId="1" r:id="rId1"/>
    <sheet name="H2 Colour Data" sheetId="2" r:id="rId2"/>
    <sheet name="Cost Trends" sheetId="3" r:id="rId3"/>
    <sheet name="Water Stress — Siting" sheetId="4" r:id="rId4"/>
    <sheet name="Paper Extraction Log" sheetId="5" r:id="rId5"/>
    <sheet name="Glossary &amp; Units" sheetId="6" r:id="rId6"/>
  </sheets>
  <calcPr calcId="0"/>
</workbook>
</file>

<file path=xl/sharedStrings.xml><?xml version="1.0" encoding="utf-8"?>
<sst xmlns="http://schemas.openxmlformats.org/spreadsheetml/2006/main" count="369" uniqueCount="297">
  <si>
    <t>How to Use This Spreadsheet</t>
  </si>
  <si>
    <t>WHAT THIS IS</t>
  </si>
  <si>
    <t>Purpose</t>
  </si>
  <si>
    <t>This spreadsheet is your data collection layer for the Hydrogen Colour Explorer dashboard. You fill it in as you read papers — the dashboard is built on top of this data later in Python/Streamlit.</t>
  </si>
  <si>
    <t>THE 5 SHEETS</t>
  </si>
  <si>
    <t>H2 Colour Data</t>
  </si>
  <si>
    <t>MAIN SHEET. One row per hydrogen colour/method. Fill columns as you read each paper. Do not put 0 for missing data — leave blank.</t>
  </si>
  <si>
    <t>Cost Trends</t>
  </si>
  <si>
    <t>LCOH over time by colour. For the dashboard's cost-trends chart. Fill year-by-year values from papers.</t>
  </si>
  <si>
    <t>Water Stress — Siting</t>
  </si>
  <si>
    <t>Country-level water stress data. For the water stress siting map project. Pull from FAO AQUASTAT + papers.</t>
  </si>
  <si>
    <t>Paper Extraction Log</t>
  </si>
  <si>
    <t>Your reading tracker. One row per paper. Fill in your 4 handwritten note categories + track status.</t>
  </si>
  <si>
    <t>Glossary &amp; Units</t>
  </si>
  <si>
    <t>Definitions for every term and unit used. Check here if unsure what a column means.</t>
  </si>
  <si>
    <t>HOW TO FILL IT IN</t>
  </si>
  <si>
    <t>Step 1</t>
  </si>
  <si>
    <t>Read paper using your method (abstract → conclusion → skim → intro → results/discussion).</t>
  </si>
  <si>
    <t>Step 2</t>
  </si>
  <si>
    <t>Take your 4 handwritten notes. Then open the Paper Extraction Log and fill in that paper's row.</t>
  </si>
  <si>
    <t>Step 3</t>
  </si>
  <si>
    <t>Go to the H2 Colour Data sheet. Find the row for the colour/method discussed. Fill in the columns that paper covers.</t>
  </si>
  <si>
    <t>Step 4</t>
  </si>
  <si>
    <t>In the Source column, always note which paper the value came from (e.g. 'Paper 1 — Santos 2023, Table 2').</t>
  </si>
  <si>
    <t>Step 5</t>
  </si>
  <si>
    <t>If a value is reported as a range (e.g. 0.5–3.0), put the midpoint in the Central column and the bounds in Low/High.</t>
  </si>
  <si>
    <t>Step 6</t>
  </si>
  <si>
    <t>Leave cells blank if the paper doesn't report that value. Never invent numbers.</t>
  </si>
  <si>
    <t>IMPORTANT RULES</t>
  </si>
  <si>
    <t>Missing data</t>
  </si>
  <si>
    <t>Blank = not reported. Do NOT write 0 — zero means zero emissions/cost, which is a real value.</t>
  </si>
  <si>
    <t>Ranges</t>
  </si>
  <si>
    <t>Always fill Low AND High columns when a range is reported. Central = midpoint or reported best estimate.</t>
  </si>
  <si>
    <t>Units</t>
  </si>
  <si>
    <t>Check units carefully — some papers report MJ/kgH₂, others kWh/kgH₂. Convert before entering. See Glossary.</t>
  </si>
  <si>
    <t>Sources</t>
  </si>
  <si>
    <t>Always cite the source paper for every number you enter. This makes the dashboard citable.</t>
  </si>
  <si>
    <t>Conflicts</t>
  </si>
  <si>
    <t>If two papers report different values for the same cell, note both in the Notes column and use the more recent study.</t>
  </si>
  <si>
    <t>WHEN IS IT READY FOR THE DASHBOARD?</t>
  </si>
  <si>
    <t>Minimum</t>
  </si>
  <si>
    <t>After Papers 1, 2, and 3 are read and their data extracted — you will have enough for a working dashboard.</t>
  </si>
  <si>
    <t>Better</t>
  </si>
  <si>
    <t>After adding S9 (IEA GHR 2024) data for the policy columns.</t>
  </si>
  <si>
    <t>Best</t>
  </si>
  <si>
    <t>After Phase 2 reading (Paper 5, S3, S7, S8) — cost trends, water stress, and deployment data all filled.</t>
  </si>
  <si>
    <t>Hydrogen Colour Explorer — Master Data Table</t>
  </si>
  <si>
    <t>Fill one row per hydrogen production method. Leave cells blank if not reported — do NOT put 0 for missing data. Note the source paper in the Source column for every value you enter.</t>
  </si>
  <si>
    <t>🔵  IDENTITY</t>
  </si>
  <si>
    <t>🌡  EMISSIONS</t>
  </si>
  <si>
    <t>💰  COST</t>
  </si>
  <si>
    <t>💧  WATER</t>
  </si>
  <si>
    <t>🏭  PRODUCTION &amp; SCALE</t>
  </si>
  <si>
    <t>⚙️  TECHNOLOGY</t>
  </si>
  <si>
    <t>🌍  POLICY</t>
  </si>
  <si>
    <t>📎  SOURCE &amp; META</t>
  </si>
  <si>
    <t>Colour Name
(e.g. Green, Grey, Blue)</t>
  </si>
  <si>
    <t>Production Method
(e.g. PEM Electrolysis, SMR)</t>
  </si>
  <si>
    <t>Feedstock
(e.g. Water, Natural Gas, Coal)</t>
  </si>
  <si>
    <t>Energy Source
(e.g. Solar, Grid, Nuclear)</t>
  </si>
  <si>
    <t>Maturity Level
(Mature / Developing / Lab)</t>
  </si>
  <si>
    <t>GWP100 LOW
kgCO₂eq/kgH₂</t>
  </si>
  <si>
    <t>GWP100 HIGH
kgCO₂eq/kgH₂</t>
  </si>
  <si>
    <t>GWP100 SOURCE
(which study)</t>
  </si>
  <si>
    <t>Indirect GWP
(H₂ leakage effect)</t>
  </si>
  <si>
    <t>Carbon Capture?
(Y / N / Partial)</t>
  </si>
  <si>
    <t>LCA System Boundary
(well-to-gate / cradle-to-gate etc.)</t>
  </si>
  <si>
    <t>LCOH Central
$/kgH₂</t>
  </si>
  <si>
    <t>LCOH Low
$/kgH₂</t>
  </si>
  <si>
    <t>LCOH High
$/kgH₂</t>
  </si>
  <si>
    <t>LCOH Year
(year of estimate)</t>
  </si>
  <si>
    <t>CAPEX Reference
($/kW or $/unit, notes)</t>
  </si>
  <si>
    <t>Water Consumption
L/kgH₂ (central)</t>
  </si>
  <si>
    <t>Water Consumption
L/kgH₂ (low)</t>
  </si>
  <si>
    <t>Water Consumption
L/kgH₂ (high)</t>
  </si>
  <si>
    <t>Water Stress Risk
(Low / Med / High — siting note)</t>
  </si>
  <si>
    <t>Global Production Share %
(current, approx.)</t>
  </si>
  <si>
    <t>Global Production Volume
Mt H₂/yr</t>
  </si>
  <si>
    <t>Leading Countries
(top 2–3)</t>
  </si>
  <si>
    <t>Demand Projection 2030
Mt H₂/yr</t>
  </si>
  <si>
    <t>Demand Projection 2050
Mt H₂/yr</t>
  </si>
  <si>
    <t>Electrolyser Type
(AWE / PEM / SOEC / n/a)</t>
  </si>
  <si>
    <t>Operating Temp °C
(if relevant)</t>
  </si>
  <si>
    <t>Operating Pressure bar
(if relevant)</t>
  </si>
  <si>
    <t>Stack Lifetime
years (if reported)</t>
  </si>
  <si>
    <t>Policy Status
(Active support / Planned / None)</t>
  </si>
  <si>
    <t>Key Policy/Incentive
(name or brief note)</t>
  </si>
  <si>
    <t>Net Zero Target
(country's year)</t>
  </si>
  <si>
    <t>H₂ Strategy Country
(Y / N)</t>
  </si>
  <si>
    <t>Primary Source Paper
(e.g. Paper 1 — Santos 2023)</t>
  </si>
  <si>
    <t>Additional Sources
(list paper numbers)</t>
  </si>
  <si>
    <t>Data Quality
(Direct / Calculated / Estimated)</t>
  </si>
  <si>
    <t>Notes / Caveats</t>
  </si>
  <si>
    <t>Green</t>
  </si>
  <si>
    <t>N</t>
  </si>
  <si>
    <t>Cradle-to-gate</t>
  </si>
  <si>
    <t>PEM</t>
  </si>
  <si>
    <t>Y</t>
  </si>
  <si>
    <t>Grey</t>
  </si>
  <si>
    <t>Well-to-gate</t>
  </si>
  <si>
    <t>Low</t>
  </si>
  <si>
    <t>Paper 2, S9</t>
  </si>
  <si>
    <t>Black/Brown</t>
  </si>
  <si>
    <t>Medium</t>
  </si>
  <si>
    <t>Paper 2</t>
  </si>
  <si>
    <t>Pink</t>
  </si>
  <si>
    <t>Paper 1</t>
  </si>
  <si>
    <t>Turquoise</t>
  </si>
  <si>
    <t>Yellow</t>
  </si>
  <si>
    <t>LCOH Cost Trends by Colour — $/kgH₂</t>
  </si>
  <si>
    <t>Fill in values from papers as you find them. Leave blank if not reported. Sources in the Notes column.</t>
  </si>
  <si>
    <t>Year</t>
  </si>
  <si>
    <t>Green (PEM)</t>
  </si>
  <si>
    <t>Green (AWE)</t>
  </si>
  <si>
    <t>Blue (SMR+CCS)</t>
  </si>
  <si>
    <t>Grey (SMR)</t>
  </si>
  <si>
    <t>Pink (Nuclear)</t>
  </si>
  <si>
    <t>Source Paper(s)</t>
  </si>
  <si>
    <t>Notes</t>
  </si>
  <si>
    <t>S3 — MDPI 2023 projections</t>
  </si>
  <si>
    <t>Historical estimate</t>
  </si>
  <si>
    <t>S3</t>
  </si>
  <si>
    <t>S3, Paper 1</t>
  </si>
  <si>
    <t>Paper 1 (Santos 2023), S3</t>
  </si>
  <si>
    <t>Paper 1, IEA GHR 2024 (S9)</t>
  </si>
  <si>
    <t>Add your values from papers</t>
  </si>
  <si>
    <t>← Fill as you read</t>
  </si>
  <si>
    <t>S3 projection (optimistic)</t>
  </si>
  <si>
    <t>Target scenario</t>
  </si>
  <si>
    <t>S3 projection</t>
  </si>
  <si>
    <t>Long-term forecast</t>
  </si>
  <si>
    <t>Water Stress Data for H₂ Siting Map — Link to AQUASTAT / FAO data</t>
  </si>
  <si>
    <t>Sources: FAO AQUASTAT (https://www.fao.org/aquastat) · IWMI Water Stress Index · Paper 3 (water consumption L/kgH₂) · S7 &amp; S8 (water footprint studies)</t>
  </si>
  <si>
    <t>Country / Region</t>
  </si>
  <si>
    <t>H₂ Production Method</t>
  </si>
  <si>
    <t>Water Use
L/kgH₂</t>
  </si>
  <si>
    <t>Freshwater Stress
(FAO category)</t>
  </si>
  <si>
    <t>Annual Freshwater
Withdrawal km³/yr</t>
  </si>
  <si>
    <t>Renewable Water
Resources km³/yr</t>
  </si>
  <si>
    <t>Stress Ratio %
(withdrawal/renewable)</t>
  </si>
  <si>
    <t>Siting Viability
(High/Med/Low)</t>
  </si>
  <si>
    <t>Desalination
Option? (Y/N)</t>
  </si>
  <si>
    <t>Saudi Arabia</t>
  </si>
  <si>
    <t>Extremely High (&gt;80%)</t>
  </si>
  <si>
    <t>~1050%</t>
  </si>
  <si>
    <t>Coastal desalination viable — already used at NEOM project</t>
  </si>
  <si>
    <t>Chile (Atacama)</t>
  </si>
  <si>
    <t>High (40–80%)</t>
  </si>
  <si>
    <t>~1%</t>
  </si>
  <si>
    <t>High</t>
  </si>
  <si>
    <t>Low water stress despite arid climate — large renewable freshwater from Andes</t>
  </si>
  <si>
    <t>Germany</t>
  </si>
  <si>
    <t>Green (PEM+AWE)</t>
  </si>
  <si>
    <t>Medium (20–40%)</t>
  </si>
  <si>
    <t>~22%</t>
  </si>
  <si>
    <t>Moderate stress — import H₂ may be preferable to domestic production</t>
  </si>
  <si>
    <t>Morocco</t>
  </si>
  <si>
    <t>~35%</t>
  </si>
  <si>
    <t>Export H₂ strategy underway — water scarcity a constraint</t>
  </si>
  <si>
    <t>Australia (SW)</t>
  </si>
  <si>
    <t>~15%</t>
  </si>
  <si>
    <t>Coastal sites viable — large-scale export potential</t>
  </si>
  <si>
    <t>India</t>
  </si>
  <si>
    <t>Grey → Blue transition</t>
  </si>
  <si>
    <t>~40%</t>
  </si>
  <si>
    <t>Large absolute demand — water recycling important</t>
  </si>
  <si>
    <t>Norway</t>
  </si>
  <si>
    <t>Green (Hydro)</t>
  </si>
  <si>
    <t>Low (&lt;10%)</t>
  </si>
  <si>
    <t>~0.7%</t>
  </si>
  <si>
    <t>Very High</t>
  </si>
  <si>
    <t>Ideal water conditions — hydropower + abundant freshwater</t>
  </si>
  <si>
    <t>Paper Extraction Log — Track what you pulled from each paper and when</t>
  </si>
  <si>
    <t>Paper #</t>
  </si>
  <si>
    <t>Short Title</t>
  </si>
  <si>
    <t>Date Read</t>
  </si>
  <si>
    <t>What They Found
(1 sentence)</t>
  </si>
  <si>
    <t>Surprising Number
(value + unit + context)</t>
  </si>
  <si>
    <t>Connection to Prior
Knowledge</t>
  </si>
  <si>
    <t>Open Question
Left Unanswered</t>
  </si>
  <si>
    <t>Data Extracted?
(Y/N)</t>
  </si>
  <si>
    <t>Medium Post
Drafted? (Y/N)</t>
  </si>
  <si>
    <t>Dashboard Cols
Filled</t>
  </si>
  <si>
    <t>Status</t>
  </si>
  <si>
    <t>Colour Spectrum TEA
(Santos 2023)</t>
  </si>
  <si>
    <t>Grey H₂ dominates production but has 10x higher emissions than green</t>
  </si>
  <si>
    <t>26 kgCO₂eq/kgH₂ for black coal — same as burning coal directly</t>
  </si>
  <si>
    <t>Links to my thermodynamics background — SMR is endothermic, explains energy intensity</t>
  </si>
  <si>
    <t>How sensitive is green H₂ cost to curtailed vs baseload renewable electricity?</t>
  </si>
  <si>
    <t>emissions, cost, feedstock, colour</t>
  </si>
  <si>
    <t>Reading now ▶</t>
  </si>
  <si>
    <t>H₂ Production Review
(arXiv 2024)</t>
  </si>
  <si>
    <t>global share, demand, cost trends</t>
  </si>
  <si>
    <t>Not started</t>
  </si>
  <si>
    <t>Paper 3</t>
  </si>
  <si>
    <t>Critical LCA Review
(MDPI 2024)</t>
  </si>
  <si>
    <t>water L/kgH₂, GWP, system boundary</t>
  </si>
  <si>
    <t>Paper 5</t>
  </si>
  <si>
    <t>Infrastructure Deployment
(arXiv 2024)</t>
  </si>
  <si>
    <t>policy by country, deployment</t>
  </si>
  <si>
    <t>S9</t>
  </si>
  <si>
    <t>IEA GHR 2024</t>
  </si>
  <si>
    <t>policy, production stats</t>
  </si>
  <si>
    <t>Glossary of Terms &amp; Units Used in This Spreadsheet</t>
  </si>
  <si>
    <t>Term / Unit</t>
  </si>
  <si>
    <t>Definition</t>
  </si>
  <si>
    <t>Where it appears</t>
  </si>
  <si>
    <t>Source / Notes</t>
  </si>
  <si>
    <t>kgCO₂eq/kgH₂</t>
  </si>
  <si>
    <t>Kilograms of CO₂ equivalent emitted per kilogram of hydrogen produced. The standard emissions intensity metric.</t>
  </si>
  <si>
    <t>Emissions columns</t>
  </si>
  <si>
    <t>GWP100 framework — IPCC AR6</t>
  </si>
  <si>
    <t>GWP100</t>
  </si>
  <si>
    <t>Global Warming Potential over 100 years. Converts all greenhouse gases to a CO₂-equivalent basis.</t>
  </si>
  <si>
    <t>IPCC AR6</t>
  </si>
  <si>
    <t>LCOH ($/kgH₂)</t>
  </si>
  <si>
    <t>Levelised Cost of Hydrogen — the all-in cost to produce 1 kg H₂ including CAPEX, OPEX, and financing over asset lifetime.</t>
  </si>
  <si>
    <t>Cost columns</t>
  </si>
  <si>
    <t>NREL ATB, DOE H2A methodology</t>
  </si>
  <si>
    <t>CAPEX</t>
  </si>
  <si>
    <t>Capital expenditure — the upfront cost to build the production facility, often expressed in $/kW of electrolyser capacity.</t>
  </si>
  <si>
    <t>L/kgH₂</t>
  </si>
  <si>
    <t>Litres of freshwater consumed per kilogram of hydrogen produced.</t>
  </si>
  <si>
    <t>Water columns</t>
  </si>
  <si>
    <t>Paper 3, S7, S8</t>
  </si>
  <si>
    <t>Proton Exchange Membrane — a type of electrolyser. High pressure, fast response, expensive. Main green H₂ technology.</t>
  </si>
  <si>
    <t>Technology column</t>
  </si>
  <si>
    <t>AWE</t>
  </si>
  <si>
    <t>Alkaline Water Electrolysis — older, cheaper electrolyser technology. Less flexible but more mature.</t>
  </si>
  <si>
    <t>SOEC</t>
  </si>
  <si>
    <t>Solid Oxide Electrolysis Cell — high-temperature electrolyser. Highest efficiency but least mature.</t>
  </si>
  <si>
    <t>SMR</t>
  </si>
  <si>
    <t>Steam Methane Reforming — the dominant grey/blue H₂ production method. Reacts natural gas with steam.</t>
  </si>
  <si>
    <t>Method column</t>
  </si>
  <si>
    <t>CCS</t>
  </si>
  <si>
    <t>Carbon Capture and Storage — technology to capture CO₂ from industrial processes and store underground.</t>
  </si>
  <si>
    <t>CCS column</t>
  </si>
  <si>
    <t>LCA system boundary that covers from raw material extraction ('well') to the point H₂ is produced ('gate'). Does not include end use.</t>
  </si>
  <si>
    <t>LCA boundary column</t>
  </si>
  <si>
    <t>Similar to well-to-gate but includes manufacturing of equipment and infrastructure.</t>
  </si>
  <si>
    <t>Mt H₂/yr</t>
  </si>
  <si>
    <t>Million tonnes of hydrogen per year — global production/demand scale unit.</t>
  </si>
  <si>
    <t>Production columns</t>
  </si>
  <si>
    <t>IEA GHR 2024 (S9)</t>
  </si>
  <si>
    <t>AQUASTAT</t>
  </si>
  <si>
    <t>FAO's global water information system. Data source for country-level freshwater stress in the siting map.</t>
  </si>
  <si>
    <t>Water Stress sheet</t>
  </si>
  <si>
    <t>fao.org/aquastat</t>
  </si>
  <si>
    <t>IEA Global Hydrogen Review 2024 — the key policy and production statistics reference (Supplementary S9).</t>
  </si>
  <si>
    <t>Policy columns</t>
  </si>
  <si>
    <t>iea.org/reports/global-hydrogen-review-2024</t>
  </si>
  <si>
    <t>NREL ATB</t>
  </si>
  <si>
    <t>National Renewable Energy Laboratory Annual Technology Baseline — open LCOH assumptions and methodology.</t>
  </si>
  <si>
    <t>atb.nrel.gov</t>
  </si>
  <si>
    <t>Indirect GWP</t>
  </si>
  <si>
    <t>H₂ itself is not a greenhouse gas, but H₂ leaks into the atmosphere extend methane's lifetime, giving H₂ an indirect GWP100 of ~11.6 (Sand et al. 2023).</t>
  </si>
  <si>
    <t>Indirect GWP column</t>
  </si>
  <si>
    <t>S5 — Sand et al. Nature Comm. Earth Env. 2023</t>
  </si>
  <si>
    <t>Water stress ratio</t>
  </si>
  <si>
    <t>Annual freshwater withdrawal divided by total renewable freshwater resources × 100%. &gt;40% = high stress (FAO).</t>
  </si>
  <si>
    <t>FAO AQUASTAT</t>
  </si>
  <si>
    <t>Electrolysis</t>
  </si>
  <si>
    <t>SMR+CCS</t>
  </si>
  <si>
    <t>Coal gasification</t>
  </si>
  <si>
    <t>Nuclear powered electrolysis</t>
  </si>
  <si>
    <t>Methane pyrolysis</t>
  </si>
  <si>
    <t>Solar electrolysis</t>
  </si>
  <si>
    <t>water + renewable electricity</t>
  </si>
  <si>
    <t>natural gas</t>
  </si>
  <si>
    <t>Coal</t>
  </si>
  <si>
    <t>water+nuclear energy</t>
  </si>
  <si>
    <t>methane</t>
  </si>
  <si>
    <t>Aqua</t>
  </si>
  <si>
    <t>water+solar</t>
  </si>
  <si>
    <t>supercritical water gasification of biomass</t>
  </si>
  <si>
    <t>biomass</t>
  </si>
  <si>
    <t>commercial</t>
  </si>
  <si>
    <t>scaling</t>
  </si>
  <si>
    <t>early stage</t>
  </si>
  <si>
    <t>Pilot</t>
  </si>
  <si>
    <t>research stage</t>
  </si>
  <si>
    <t>renewable energy(solar,wind)</t>
  </si>
  <si>
    <t xml:space="preserve">Coal </t>
  </si>
  <si>
    <t>nuclear</t>
  </si>
  <si>
    <t>direct solar</t>
  </si>
  <si>
    <t xml:space="preserve">GWP100
kgCO₂eq/kgH₂
</t>
  </si>
  <si>
    <t>Blue (gas)</t>
  </si>
  <si>
    <t>Blue (coal)</t>
  </si>
  <si>
    <t>Natural gas</t>
  </si>
  <si>
    <t>Commercial</t>
  </si>
  <si>
    <t>Mature</t>
  </si>
  <si>
    <t>P1-Santos et al. 2023</t>
  </si>
  <si>
    <t>P3-cradle to gate LCA review</t>
  </si>
  <si>
    <t>P3-cradle to gate LCA naview</t>
  </si>
  <si>
    <t>P3-cradle to gate LCA nuview</t>
  </si>
  <si>
    <t>P3-cradle to gate LCA diview</t>
  </si>
  <si>
    <t>Not full 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</si>
</sst>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444444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color rgb="FF222222"/>
      <name val="Calibri"/>
    </font>
    <font>
      <sz val="9"/>
      <name val="Calibri"/>
    </font>
    <font>
      <b/>
      <sz val="12"/>
      <color rgb="FFFFFFFF"/>
      <name val="Calibri"/>
    </font>
    <font>
      <i/>
      <sz val="9"/>
      <color rgb="FF555555"/>
      <name val="Calibri"/>
    </font>
    <font>
      <i/>
      <sz val="9"/>
      <color rgb="FF333333"/>
      <name val="Calibri"/>
    </font>
    <font>
      <b/>
      <sz val="10"/>
      <color rgb="FFFFFFFF"/>
      <name val="Calibri"/>
    </font>
    <font>
      <b/>
      <sz val="9"/>
      <color rgb="FF1F386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F"/>
      </patternFill>
    </fill>
    <fill>
      <patternFill patternType="solid">
        <fgColor rgb="FF7B3F00"/>
      </patternFill>
    </fill>
    <fill>
      <patternFill patternType="solid">
        <fgColor rgb="FF14532D"/>
      </patternFill>
    </fill>
    <fill>
      <patternFill patternType="solid">
        <fgColor rgb="FF1E3A5F"/>
      </patternFill>
    </fill>
    <fill>
      <patternFill patternType="solid">
        <fgColor rgb="FF4A1D96"/>
      </patternFill>
    </fill>
    <fill>
      <patternFill patternType="solid">
        <fgColor rgb="FF713F12"/>
      </patternFill>
    </fill>
    <fill>
      <patternFill patternType="solid">
        <fgColor rgb="FF134E4A"/>
      </patternFill>
    </fill>
    <fill>
      <patternFill patternType="solid">
        <fgColor rgb="FF1F2937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1A8870"/>
      </patternFill>
    </fill>
  </fills>
  <borders count="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1" fillId="11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1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8870"/>
  </sheetPr>
  <dimension ref="A1:B30"/>
  <sheetViews>
    <sheetView showGridLines="0" topLeftCell="A3" workbookViewId="0">
      <selection sqref="A1:B1"/>
    </sheetView>
  </sheetViews>
  <sheetFormatPr defaultRowHeight="14.5" x14ac:dyDescent="0.35"/>
  <cols>
    <col min="1" max="1" width="28" customWidth="1"/>
    <col min="2" max="2" width="80" customWidth="1"/>
  </cols>
  <sheetData>
    <row r="1" spans="1:2" ht="28" customHeight="1" x14ac:dyDescent="0.35">
      <c r="A1" s="25" t="s">
        <v>0</v>
      </c>
      <c r="B1" s="23"/>
    </row>
    <row r="2" spans="1:2" ht="22" customHeight="1" x14ac:dyDescent="0.35">
      <c r="A2" s="33" t="s">
        <v>1</v>
      </c>
      <c r="B2" s="23"/>
    </row>
    <row r="3" spans="1:2" ht="36" customHeight="1" x14ac:dyDescent="0.35">
      <c r="A3" s="1" t="s">
        <v>2</v>
      </c>
      <c r="B3" s="2" t="s">
        <v>3</v>
      </c>
    </row>
    <row r="4" spans="1:2" ht="8" customHeight="1" x14ac:dyDescent="0.35"/>
    <row r="5" spans="1:2" ht="22" customHeight="1" x14ac:dyDescent="0.35">
      <c r="A5" s="33" t="s">
        <v>4</v>
      </c>
      <c r="B5" s="23"/>
    </row>
    <row r="6" spans="1:2" ht="36" customHeight="1" x14ac:dyDescent="0.35">
      <c r="A6" s="1" t="s">
        <v>5</v>
      </c>
      <c r="B6" s="2" t="s">
        <v>6</v>
      </c>
    </row>
    <row r="7" spans="1:2" ht="36" customHeight="1" x14ac:dyDescent="0.35">
      <c r="A7" s="1" t="s">
        <v>7</v>
      </c>
      <c r="B7" s="2" t="s">
        <v>8</v>
      </c>
    </row>
    <row r="8" spans="1:2" ht="36" customHeight="1" x14ac:dyDescent="0.35">
      <c r="A8" s="1" t="s">
        <v>9</v>
      </c>
      <c r="B8" s="2" t="s">
        <v>10</v>
      </c>
    </row>
    <row r="9" spans="1:2" ht="36" customHeight="1" x14ac:dyDescent="0.35">
      <c r="A9" s="1" t="s">
        <v>11</v>
      </c>
      <c r="B9" s="2" t="s">
        <v>12</v>
      </c>
    </row>
    <row r="10" spans="1:2" ht="36" customHeight="1" x14ac:dyDescent="0.35">
      <c r="A10" s="1" t="s">
        <v>13</v>
      </c>
      <c r="B10" s="2" t="s">
        <v>14</v>
      </c>
    </row>
    <row r="11" spans="1:2" ht="8" customHeight="1" x14ac:dyDescent="0.35"/>
    <row r="12" spans="1:2" ht="22" customHeight="1" x14ac:dyDescent="0.35">
      <c r="A12" s="33" t="s">
        <v>15</v>
      </c>
      <c r="B12" s="23"/>
    </row>
    <row r="13" spans="1:2" ht="36" customHeight="1" x14ac:dyDescent="0.35">
      <c r="A13" s="1" t="s">
        <v>16</v>
      </c>
      <c r="B13" s="2" t="s">
        <v>17</v>
      </c>
    </row>
    <row r="14" spans="1:2" ht="36" customHeight="1" x14ac:dyDescent="0.35">
      <c r="A14" s="1" t="s">
        <v>18</v>
      </c>
      <c r="B14" s="2" t="s">
        <v>19</v>
      </c>
    </row>
    <row r="15" spans="1:2" ht="36" customHeight="1" x14ac:dyDescent="0.35">
      <c r="A15" s="1" t="s">
        <v>20</v>
      </c>
      <c r="B15" s="2" t="s">
        <v>21</v>
      </c>
    </row>
    <row r="16" spans="1:2" ht="36" customHeight="1" x14ac:dyDescent="0.35">
      <c r="A16" s="1" t="s">
        <v>22</v>
      </c>
      <c r="B16" s="2" t="s">
        <v>23</v>
      </c>
    </row>
    <row r="17" spans="1:2" ht="36" customHeight="1" x14ac:dyDescent="0.35">
      <c r="A17" s="1" t="s">
        <v>24</v>
      </c>
      <c r="B17" s="2" t="s">
        <v>25</v>
      </c>
    </row>
    <row r="18" spans="1:2" ht="36" customHeight="1" x14ac:dyDescent="0.35">
      <c r="A18" s="1" t="s">
        <v>26</v>
      </c>
      <c r="B18" s="2" t="s">
        <v>27</v>
      </c>
    </row>
    <row r="19" spans="1:2" ht="8" customHeight="1" x14ac:dyDescent="0.35"/>
    <row r="20" spans="1:2" ht="22" customHeight="1" x14ac:dyDescent="0.35">
      <c r="A20" s="33" t="s">
        <v>28</v>
      </c>
      <c r="B20" s="23"/>
    </row>
    <row r="21" spans="1:2" ht="36" customHeight="1" x14ac:dyDescent="0.35">
      <c r="A21" s="1" t="s">
        <v>29</v>
      </c>
      <c r="B21" s="2" t="s">
        <v>30</v>
      </c>
    </row>
    <row r="22" spans="1:2" ht="36" customHeight="1" x14ac:dyDescent="0.35">
      <c r="A22" s="1" t="s">
        <v>31</v>
      </c>
      <c r="B22" s="2" t="s">
        <v>32</v>
      </c>
    </row>
    <row r="23" spans="1:2" ht="36" customHeight="1" x14ac:dyDescent="0.35">
      <c r="A23" s="1" t="s">
        <v>33</v>
      </c>
      <c r="B23" s="2" t="s">
        <v>34</v>
      </c>
    </row>
    <row r="24" spans="1:2" ht="36" customHeight="1" x14ac:dyDescent="0.35">
      <c r="A24" s="1" t="s">
        <v>35</v>
      </c>
      <c r="B24" s="2" t="s">
        <v>36</v>
      </c>
    </row>
    <row r="25" spans="1:2" ht="36" customHeight="1" x14ac:dyDescent="0.35">
      <c r="A25" s="1" t="s">
        <v>37</v>
      </c>
      <c r="B25" s="2" t="s">
        <v>38</v>
      </c>
    </row>
    <row r="26" spans="1:2" ht="8" customHeight="1" x14ac:dyDescent="0.35"/>
    <row r="27" spans="1:2" ht="22" customHeight="1" x14ac:dyDescent="0.35">
      <c r="A27" s="33" t="s">
        <v>39</v>
      </c>
      <c r="B27" s="23"/>
    </row>
    <row r="28" spans="1:2" ht="36" customHeight="1" x14ac:dyDescent="0.35">
      <c r="A28" s="1" t="s">
        <v>40</v>
      </c>
      <c r="B28" s="2" t="s">
        <v>41</v>
      </c>
    </row>
    <row r="29" spans="1:2" ht="36" customHeight="1" x14ac:dyDescent="0.35">
      <c r="A29" s="1" t="s">
        <v>42</v>
      </c>
      <c r="B29" s="2" t="s">
        <v>43</v>
      </c>
    </row>
    <row r="30" spans="1:2" ht="36" customHeight="1" x14ac:dyDescent="0.35">
      <c r="A30" s="1" t="s">
        <v>44</v>
      </c>
      <c r="B30" s="2" t="s">
        <v>45</v>
      </c>
    </row>
  </sheetData>
  <mergeCells count="6">
    <mergeCell ref="A20:B20"/>
    <mergeCell ref="A2:B2"/>
    <mergeCell ref="A5:B5"/>
    <mergeCell ref="A1:B1"/>
    <mergeCell ref="A27:B27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AL25"/>
  <sheetViews>
    <sheetView showGridLines="0" tabSelected="1" topLeftCell="A5" zoomScale="103" workbookViewId="0">
      <pane xSplit="1" topLeftCell="C1" activePane="topRight" state="frozen"/>
      <selection pane="topRight" activeCell="F12" sqref="F12"/>
    </sheetView>
  </sheetViews>
  <sheetFormatPr defaultRowHeight="14.5" x14ac:dyDescent="0.35"/>
  <cols>
    <col min="1" max="1" width="14" customWidth="1"/>
    <col min="2" max="2" width="24" customWidth="1"/>
    <col min="3" max="4" width="18" customWidth="1"/>
    <col min="5" max="5" width="14" customWidth="1"/>
    <col min="6" max="6" width="12" customWidth="1"/>
    <col min="7" max="8" width="10" customWidth="1"/>
    <col min="9" max="9" width="22" customWidth="1"/>
    <col min="10" max="10" width="18" customWidth="1"/>
    <col min="11" max="11" width="10" customWidth="1"/>
    <col min="12" max="12" width="22" customWidth="1"/>
    <col min="13" max="13" width="12" customWidth="1"/>
    <col min="14" max="16" width="10" customWidth="1"/>
    <col min="17" max="17" width="22" customWidth="1"/>
    <col min="18" max="18" width="12" customWidth="1"/>
    <col min="19" max="20" width="10" customWidth="1"/>
    <col min="21" max="21" width="20" customWidth="1"/>
    <col min="22" max="22" width="14" customWidth="1"/>
    <col min="23" max="23" width="12" customWidth="1"/>
    <col min="24" max="24" width="22" customWidth="1"/>
    <col min="25" max="27" width="14" customWidth="1"/>
    <col min="28" max="30" width="12" customWidth="1"/>
    <col min="31" max="31" width="18" customWidth="1"/>
    <col min="32" max="32" width="28" customWidth="1"/>
    <col min="33" max="33" width="12" customWidth="1"/>
    <col min="34" max="34" width="10" customWidth="1"/>
    <col min="35" max="35" width="26" customWidth="1"/>
    <col min="36" max="36" width="22" customWidth="1"/>
    <col min="37" max="37" width="16" customWidth="1"/>
    <col min="38" max="38" width="32" customWidth="1"/>
  </cols>
  <sheetData>
    <row r="1" spans="1:38" ht="28" customHeight="1" x14ac:dyDescent="0.35">
      <c r="A1" s="25" t="s">
        <v>46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8" ht="18" customHeight="1" x14ac:dyDescent="0.35">
      <c r="A2" s="30" t="s">
        <v>47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38" ht="44" customHeight="1" x14ac:dyDescent="0.35">
      <c r="A3" s="32" t="s">
        <v>48</v>
      </c>
      <c r="B3" s="23"/>
      <c r="C3" s="23"/>
      <c r="D3" s="23"/>
      <c r="E3" s="23"/>
      <c r="F3" s="27" t="s">
        <v>49</v>
      </c>
      <c r="G3" s="23"/>
      <c r="H3" s="23"/>
      <c r="I3" s="23"/>
      <c r="J3" s="23"/>
      <c r="K3" s="23"/>
      <c r="L3" s="23"/>
      <c r="M3" s="31" t="s">
        <v>50</v>
      </c>
      <c r="N3" s="23"/>
      <c r="O3" s="23"/>
      <c r="P3" s="23"/>
      <c r="Q3" s="23"/>
      <c r="R3" s="22" t="s">
        <v>51</v>
      </c>
      <c r="S3" s="23"/>
      <c r="T3" s="23"/>
      <c r="U3" s="23"/>
      <c r="V3" s="24" t="s">
        <v>52</v>
      </c>
      <c r="W3" s="23"/>
      <c r="X3" s="23"/>
      <c r="Y3" s="23"/>
      <c r="Z3" s="23"/>
      <c r="AA3" s="26" t="s">
        <v>53</v>
      </c>
      <c r="AB3" s="23"/>
      <c r="AC3" s="23"/>
      <c r="AD3" s="23"/>
      <c r="AE3" s="28" t="s">
        <v>54</v>
      </c>
      <c r="AF3" s="23"/>
      <c r="AG3" s="23"/>
      <c r="AH3" s="23"/>
      <c r="AI3" s="29" t="s">
        <v>55</v>
      </c>
      <c r="AJ3" s="23"/>
      <c r="AK3" s="23"/>
      <c r="AL3" s="23"/>
    </row>
    <row r="4" spans="1:38" ht="52" customHeight="1" x14ac:dyDescent="0.35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5" t="s">
        <v>285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66</v>
      </c>
      <c r="M4" s="6" t="s">
        <v>67</v>
      </c>
      <c r="N4" s="6" t="s">
        <v>68</v>
      </c>
      <c r="O4" s="6" t="s">
        <v>69</v>
      </c>
      <c r="P4" s="6" t="s">
        <v>70</v>
      </c>
      <c r="Q4" s="6" t="s">
        <v>71</v>
      </c>
      <c r="R4" s="7" t="s">
        <v>72</v>
      </c>
      <c r="S4" s="7" t="s">
        <v>73</v>
      </c>
      <c r="T4" s="7" t="s">
        <v>74</v>
      </c>
      <c r="U4" s="7" t="s">
        <v>75</v>
      </c>
      <c r="V4" s="8" t="s">
        <v>76</v>
      </c>
      <c r="W4" s="8" t="s">
        <v>77</v>
      </c>
      <c r="X4" s="8" t="s">
        <v>78</v>
      </c>
      <c r="Y4" s="8" t="s">
        <v>79</v>
      </c>
      <c r="Z4" s="8" t="s">
        <v>80</v>
      </c>
      <c r="AA4" s="9" t="s">
        <v>81</v>
      </c>
      <c r="AB4" s="9" t="s">
        <v>82</v>
      </c>
      <c r="AC4" s="9" t="s">
        <v>83</v>
      </c>
      <c r="AD4" s="9" t="s">
        <v>84</v>
      </c>
      <c r="AE4" s="10" t="s">
        <v>85</v>
      </c>
      <c r="AF4" s="10" t="s">
        <v>86</v>
      </c>
      <c r="AG4" s="10" t="s">
        <v>87</v>
      </c>
      <c r="AH4" s="10" t="s">
        <v>88</v>
      </c>
      <c r="AI4" s="11" t="s">
        <v>89</v>
      </c>
      <c r="AJ4" s="11" t="s">
        <v>90</v>
      </c>
      <c r="AK4" s="11" t="s">
        <v>91</v>
      </c>
      <c r="AL4" s="11" t="s">
        <v>92</v>
      </c>
    </row>
    <row r="5" spans="1:38" ht="42" customHeight="1" x14ac:dyDescent="0.35">
      <c r="A5" s="12" t="s">
        <v>93</v>
      </c>
      <c r="B5" s="12" t="s">
        <v>261</v>
      </c>
      <c r="C5" s="12" t="s">
        <v>267</v>
      </c>
      <c r="D5" s="12" t="s">
        <v>281</v>
      </c>
      <c r="E5" s="12" t="s">
        <v>277</v>
      </c>
      <c r="F5" s="12">
        <v>2.02</v>
      </c>
      <c r="G5" s="12">
        <v>0.09</v>
      </c>
      <c r="H5" s="12">
        <v>23.5</v>
      </c>
      <c r="I5" s="12" t="s">
        <v>292</v>
      </c>
      <c r="J5" s="12"/>
      <c r="K5" s="12" t="s">
        <v>94</v>
      </c>
      <c r="L5" s="12" t="s">
        <v>95</v>
      </c>
      <c r="M5" s="12">
        <v>4.835</v>
      </c>
      <c r="N5" s="12">
        <v>2.2799999999999998</v>
      </c>
      <c r="O5" s="12">
        <v>7.39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ht="42" customHeight="1" x14ac:dyDescent="0.35">
      <c r="A6" s="13" t="s">
        <v>98</v>
      </c>
      <c r="B6" s="13" t="s">
        <v>231</v>
      </c>
      <c r="C6" s="13" t="s">
        <v>268</v>
      </c>
      <c r="D6" s="13" t="s">
        <v>268</v>
      </c>
      <c r="E6" s="13" t="s">
        <v>276</v>
      </c>
      <c r="F6" s="13">
        <v>8.5</v>
      </c>
      <c r="G6" s="13">
        <v>9.35</v>
      </c>
      <c r="H6" s="13">
        <v>14.2</v>
      </c>
      <c r="I6" s="13" t="s">
        <v>293</v>
      </c>
      <c r="J6" s="13"/>
      <c r="K6" s="13" t="s">
        <v>94</v>
      </c>
      <c r="L6" s="13" t="s">
        <v>95</v>
      </c>
      <c r="M6" s="13">
        <v>0.99</v>
      </c>
      <c r="N6" s="13">
        <v>0.67</v>
      </c>
      <c r="O6" s="13">
        <v>1.31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 ht="42" customHeight="1" x14ac:dyDescent="0.35">
      <c r="A7" s="13" t="s">
        <v>286</v>
      </c>
      <c r="B7" s="13" t="s">
        <v>262</v>
      </c>
      <c r="C7" s="13" t="s">
        <v>288</v>
      </c>
      <c r="D7" s="13" t="s">
        <v>268</v>
      </c>
      <c r="E7" s="13" t="s">
        <v>289</v>
      </c>
      <c r="F7" s="13">
        <v>6.02</v>
      </c>
      <c r="G7" s="13">
        <v>3.78</v>
      </c>
      <c r="H7" s="13">
        <v>8.8000000000000007</v>
      </c>
      <c r="I7" s="13" t="s">
        <v>293</v>
      </c>
      <c r="J7" s="13"/>
      <c r="K7" s="13" t="s">
        <v>97</v>
      </c>
      <c r="L7" s="13" t="s">
        <v>95</v>
      </c>
      <c r="M7" s="13">
        <v>1.41</v>
      </c>
      <c r="N7" s="13">
        <v>0.99</v>
      </c>
      <c r="O7" s="13">
        <v>1.83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38" ht="42" customHeight="1" x14ac:dyDescent="0.35">
      <c r="A8" s="12" t="s">
        <v>287</v>
      </c>
      <c r="B8" s="12" t="s">
        <v>263</v>
      </c>
      <c r="C8" s="12" t="s">
        <v>269</v>
      </c>
      <c r="D8" s="12" t="s">
        <v>282</v>
      </c>
      <c r="E8" s="12" t="s">
        <v>290</v>
      </c>
      <c r="F8" s="12">
        <v>2.4</v>
      </c>
      <c r="G8" s="12"/>
      <c r="H8" s="12"/>
      <c r="I8" s="12" t="s">
        <v>291</v>
      </c>
      <c r="J8" s="12"/>
      <c r="K8" s="12" t="s">
        <v>97</v>
      </c>
      <c r="L8" s="12" t="s">
        <v>296</v>
      </c>
      <c r="M8" s="12">
        <v>1.825</v>
      </c>
      <c r="N8" s="12">
        <v>1.6</v>
      </c>
      <c r="O8" s="12">
        <v>2.0499999999999998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ht="42" customHeight="1" x14ac:dyDescent="0.35">
      <c r="A9" s="13" t="s">
        <v>102</v>
      </c>
      <c r="B9" s="13" t="s">
        <v>263</v>
      </c>
      <c r="C9" s="13" t="s">
        <v>269</v>
      </c>
      <c r="D9" s="13" t="s">
        <v>282</v>
      </c>
      <c r="E9" s="13" t="s">
        <v>276</v>
      </c>
      <c r="F9" s="13">
        <v>20</v>
      </c>
      <c r="G9" s="13"/>
      <c r="H9" s="13"/>
      <c r="I9" s="13" t="s">
        <v>291</v>
      </c>
      <c r="J9" s="13"/>
      <c r="K9" s="13" t="s">
        <v>94</v>
      </c>
      <c r="L9" s="13" t="s">
        <v>296</v>
      </c>
      <c r="M9" s="13">
        <v>1.6</v>
      </c>
      <c r="N9" s="13">
        <v>1.2</v>
      </c>
      <c r="O9" s="13">
        <v>2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ht="42" customHeight="1" x14ac:dyDescent="0.35">
      <c r="A10" s="12" t="s">
        <v>105</v>
      </c>
      <c r="B10" s="12" t="s">
        <v>264</v>
      </c>
      <c r="C10" s="12" t="s">
        <v>270</v>
      </c>
      <c r="D10" s="12" t="s">
        <v>283</v>
      </c>
      <c r="E10" s="12" t="s">
        <v>278</v>
      </c>
      <c r="F10" s="12">
        <v>0.41</v>
      </c>
      <c r="G10" s="12">
        <v>0.21</v>
      </c>
      <c r="H10" s="12">
        <v>0.77</v>
      </c>
      <c r="I10" s="12" t="s">
        <v>294</v>
      </c>
      <c r="J10" s="12"/>
      <c r="K10" s="12" t="s">
        <v>94</v>
      </c>
      <c r="L10" s="12" t="s">
        <v>95</v>
      </c>
      <c r="M10" s="12">
        <v>4.05</v>
      </c>
      <c r="N10" s="12">
        <v>2.1800000000000002</v>
      </c>
      <c r="O10" s="12">
        <v>5.92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ht="42" customHeight="1" x14ac:dyDescent="0.35">
      <c r="A11" s="13" t="s">
        <v>107</v>
      </c>
      <c r="B11" s="13" t="s">
        <v>265</v>
      </c>
      <c r="C11" s="13" t="s">
        <v>271</v>
      </c>
      <c r="D11" s="13" t="s">
        <v>268</v>
      </c>
      <c r="E11" s="13" t="s">
        <v>279</v>
      </c>
      <c r="F11" s="13">
        <v>6.97</v>
      </c>
      <c r="G11" s="13">
        <v>4.5</v>
      </c>
      <c r="H11" s="13">
        <v>8.1</v>
      </c>
      <c r="I11" s="13" t="s">
        <v>293</v>
      </c>
      <c r="J11" s="13"/>
      <c r="K11" s="13" t="s">
        <v>94</v>
      </c>
      <c r="L11" s="13" t="s">
        <v>95</v>
      </c>
      <c r="M11" s="13">
        <v>2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42" customHeight="1" x14ac:dyDescent="0.35">
      <c r="A12" s="12" t="s">
        <v>108</v>
      </c>
      <c r="B12" s="12" t="s">
        <v>266</v>
      </c>
      <c r="C12" s="12" t="s">
        <v>273</v>
      </c>
      <c r="D12" s="12" t="s">
        <v>284</v>
      </c>
      <c r="E12" s="12" t="s">
        <v>278</v>
      </c>
      <c r="F12" s="12">
        <v>17.2</v>
      </c>
      <c r="G12" s="12">
        <v>1.47</v>
      </c>
      <c r="H12" s="12">
        <v>41.4</v>
      </c>
      <c r="I12" s="12" t="s">
        <v>295</v>
      </c>
      <c r="J12" s="12"/>
      <c r="K12" s="12" t="s">
        <v>94</v>
      </c>
      <c r="L12" s="12" t="s">
        <v>95</v>
      </c>
      <c r="M12" s="12">
        <v>7.4349999999999996</v>
      </c>
      <c r="N12" s="12">
        <v>6.06</v>
      </c>
      <c r="O12" s="12">
        <v>8.81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42" customHeight="1" x14ac:dyDescent="0.35">
      <c r="A13" s="13" t="s">
        <v>272</v>
      </c>
      <c r="B13" s="13" t="s">
        <v>274</v>
      </c>
      <c r="C13" s="13" t="s">
        <v>275</v>
      </c>
      <c r="D13" s="13" t="s">
        <v>275</v>
      </c>
      <c r="E13" s="13" t="s">
        <v>280</v>
      </c>
      <c r="F13" s="13">
        <v>0</v>
      </c>
      <c r="G13" s="13"/>
      <c r="H13" s="13"/>
      <c r="I13" s="13" t="s">
        <v>291</v>
      </c>
      <c r="J13" s="13"/>
      <c r="K13" s="13" t="s">
        <v>94</v>
      </c>
      <c r="L13" s="13" t="s">
        <v>296</v>
      </c>
      <c r="M13" s="13">
        <v>0.23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36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spans="1:38" ht="36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spans="1:38" ht="36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ht="36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 spans="1:38" ht="36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 spans="1:38" ht="36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 spans="1:38" ht="36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38" ht="36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38" ht="36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spans="1:38" ht="36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38" ht="36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ht="36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</sheetData>
  <mergeCells count="10">
    <mergeCell ref="R3:U3"/>
    <mergeCell ref="V3:Z3"/>
    <mergeCell ref="A1:AJ1"/>
    <mergeCell ref="AA3:AD3"/>
    <mergeCell ref="F3:L3"/>
    <mergeCell ref="AE3:AH3"/>
    <mergeCell ref="AI3:AL3"/>
    <mergeCell ref="A2:AJ2"/>
    <mergeCell ref="M3:Q3"/>
    <mergeCell ref="A3:E3"/>
  </mergeCells>
  <dataValidations count="5">
    <dataValidation type="list" sqref="E5:E31" xr:uid="{00000000-0002-0000-0100-000000000000}">
      <formula1>"Mature,Developing,Lab/Pilot,Exploring"</formula1>
    </dataValidation>
    <dataValidation type="list" sqref="K5:K31" xr:uid="{00000000-0002-0000-0100-000001000000}">
      <formula1>"Y,N,Partial"</formula1>
    </dataValidation>
    <dataValidation type="list" sqref="U5:U31" xr:uid="{00000000-0002-0000-0100-000002000000}">
      <formula1>"Low,Medium,High"</formula1>
    </dataValidation>
    <dataValidation type="list" sqref="AE5:AE31" xr:uid="{00000000-0002-0000-0100-000003000000}">
      <formula1>"Active support,Planned,R&amp;D only,None"</formula1>
    </dataValidation>
    <dataValidation type="list" sqref="AK5:AK31" xr:uid="{00000000-0002-0000-0100-000004000000}">
      <formula1>"Direct,Calculated,Estimated"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532D"/>
  </sheetPr>
  <dimension ref="A1:K12"/>
  <sheetViews>
    <sheetView showGridLines="0" topLeftCell="G1" workbookViewId="0">
      <selection sqref="A1:K1"/>
    </sheetView>
  </sheetViews>
  <sheetFormatPr defaultRowHeight="14.5" x14ac:dyDescent="0.35"/>
  <cols>
    <col min="1" max="1" width="8" customWidth="1"/>
    <col min="2" max="3" width="14" customWidth="1"/>
    <col min="4" max="4" width="16" customWidth="1"/>
    <col min="5" max="6" width="13" customWidth="1"/>
    <col min="7" max="7" width="16" customWidth="1"/>
    <col min="8" max="8" width="10" customWidth="1"/>
    <col min="9" max="9" width="26" customWidth="1"/>
    <col min="10" max="10" width="32" customWidth="1"/>
  </cols>
  <sheetData>
    <row r="1" spans="1:11" ht="24" customHeight="1" x14ac:dyDescent="0.35">
      <c r="A1" s="35" t="s">
        <v>109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6" customHeight="1" x14ac:dyDescent="0.35">
      <c r="A2" s="34" t="s">
        <v>110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35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107</v>
      </c>
      <c r="G3" s="3" t="s">
        <v>116</v>
      </c>
      <c r="H3" s="3" t="s">
        <v>108</v>
      </c>
      <c r="I3" s="3" t="s">
        <v>117</v>
      </c>
      <c r="J3" s="3" t="s">
        <v>118</v>
      </c>
    </row>
    <row r="4" spans="1:11" ht="22" customHeight="1" x14ac:dyDescent="0.35">
      <c r="A4" s="15">
        <v>2015</v>
      </c>
      <c r="B4" s="15">
        <v>10</v>
      </c>
      <c r="C4" s="15"/>
      <c r="D4" s="15"/>
      <c r="E4" s="15">
        <v>1.8</v>
      </c>
      <c r="F4" s="15"/>
      <c r="G4" s="15"/>
      <c r="H4" s="15"/>
      <c r="I4" s="16" t="s">
        <v>119</v>
      </c>
      <c r="J4" s="16" t="s">
        <v>120</v>
      </c>
    </row>
    <row r="5" spans="1:11" ht="22" customHeight="1" x14ac:dyDescent="0.35">
      <c r="A5" s="17">
        <v>2018</v>
      </c>
      <c r="B5" s="17">
        <v>8</v>
      </c>
      <c r="C5" s="17"/>
      <c r="D5" s="17">
        <v>2.5</v>
      </c>
      <c r="E5" s="17">
        <v>1.6</v>
      </c>
      <c r="F5" s="17"/>
      <c r="G5" s="17"/>
      <c r="H5" s="17"/>
      <c r="I5" s="18" t="s">
        <v>121</v>
      </c>
      <c r="J5" s="18"/>
    </row>
    <row r="6" spans="1:11" ht="22" customHeight="1" x14ac:dyDescent="0.35">
      <c r="A6" s="15">
        <v>2020</v>
      </c>
      <c r="B6" s="15">
        <v>6</v>
      </c>
      <c r="C6" s="15">
        <v>7</v>
      </c>
      <c r="D6" s="15">
        <v>2.2000000000000002</v>
      </c>
      <c r="E6" s="15">
        <v>1.5</v>
      </c>
      <c r="F6" s="15"/>
      <c r="G6" s="15"/>
      <c r="H6" s="15"/>
      <c r="I6" s="16" t="s">
        <v>122</v>
      </c>
      <c r="J6" s="16"/>
    </row>
    <row r="7" spans="1:11" ht="22" customHeight="1" x14ac:dyDescent="0.35">
      <c r="A7" s="17">
        <v>2022</v>
      </c>
      <c r="B7" s="17">
        <v>5</v>
      </c>
      <c r="C7" s="17">
        <v>5.5</v>
      </c>
      <c r="D7" s="17">
        <v>2</v>
      </c>
      <c r="E7" s="17">
        <v>1.5</v>
      </c>
      <c r="F7" s="17">
        <v>3</v>
      </c>
      <c r="G7" s="17"/>
      <c r="H7" s="17"/>
      <c r="I7" s="18" t="s">
        <v>123</v>
      </c>
      <c r="J7" s="18"/>
    </row>
    <row r="8" spans="1:11" ht="22" customHeight="1" x14ac:dyDescent="0.35">
      <c r="A8" s="15">
        <v>2023</v>
      </c>
      <c r="B8" s="15">
        <v>4.5</v>
      </c>
      <c r="C8" s="15">
        <v>5</v>
      </c>
      <c r="D8" s="15">
        <v>1.9</v>
      </c>
      <c r="E8" s="15">
        <v>1.5</v>
      </c>
      <c r="F8" s="15">
        <v>2.5</v>
      </c>
      <c r="G8" s="15">
        <v>4</v>
      </c>
      <c r="H8" s="15"/>
      <c r="I8" s="16" t="s">
        <v>124</v>
      </c>
      <c r="J8" s="16"/>
    </row>
    <row r="9" spans="1:11" ht="22" customHeight="1" x14ac:dyDescent="0.35">
      <c r="A9" s="17">
        <v>2024</v>
      </c>
      <c r="B9" s="17">
        <v>4</v>
      </c>
      <c r="C9" s="17">
        <v>4.5</v>
      </c>
      <c r="D9" s="17">
        <v>1.8</v>
      </c>
      <c r="E9" s="17">
        <v>1.4</v>
      </c>
      <c r="F9" s="17">
        <v>2.5</v>
      </c>
      <c r="G9" s="17">
        <v>3.8</v>
      </c>
      <c r="H9" s="17"/>
      <c r="I9" s="18" t="s">
        <v>101</v>
      </c>
      <c r="J9" s="18" t="s">
        <v>125</v>
      </c>
    </row>
    <row r="10" spans="1:11" ht="22" customHeight="1" x14ac:dyDescent="0.35">
      <c r="A10" s="15">
        <v>2025</v>
      </c>
      <c r="B10" s="15"/>
      <c r="C10" s="15"/>
      <c r="D10" s="15"/>
      <c r="E10" s="15"/>
      <c r="F10" s="15"/>
      <c r="G10" s="15"/>
      <c r="H10" s="15"/>
      <c r="I10" s="16"/>
      <c r="J10" s="16" t="s">
        <v>126</v>
      </c>
    </row>
    <row r="11" spans="1:11" ht="22" customHeight="1" x14ac:dyDescent="0.35">
      <c r="A11" s="17">
        <v>2030</v>
      </c>
      <c r="B11" s="17">
        <v>2</v>
      </c>
      <c r="C11" s="17">
        <v>2.5</v>
      </c>
      <c r="D11" s="17">
        <v>1.5</v>
      </c>
      <c r="E11" s="17">
        <v>1.3</v>
      </c>
      <c r="F11" s="17">
        <v>2</v>
      </c>
      <c r="G11" s="17"/>
      <c r="H11" s="17"/>
      <c r="I11" s="18" t="s">
        <v>127</v>
      </c>
      <c r="J11" s="18" t="s">
        <v>128</v>
      </c>
    </row>
    <row r="12" spans="1:11" ht="22" customHeight="1" x14ac:dyDescent="0.35">
      <c r="A12" s="15">
        <v>2050</v>
      </c>
      <c r="B12" s="15">
        <v>1</v>
      </c>
      <c r="C12" s="15">
        <v>1.2</v>
      </c>
      <c r="D12" s="15"/>
      <c r="E12" s="15"/>
      <c r="F12" s="15"/>
      <c r="G12" s="15"/>
      <c r="H12" s="15"/>
      <c r="I12" s="16" t="s">
        <v>129</v>
      </c>
      <c r="J12" s="16" t="s">
        <v>130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3A5F"/>
  </sheetPr>
  <dimension ref="A1:J10"/>
  <sheetViews>
    <sheetView showGridLines="0" workbookViewId="0">
      <selection sqref="A1:J1"/>
    </sheetView>
  </sheetViews>
  <sheetFormatPr defaultRowHeight="14.5" x14ac:dyDescent="0.35"/>
  <cols>
    <col min="1" max="1" width="22" customWidth="1"/>
    <col min="2" max="2" width="20" customWidth="1"/>
    <col min="3" max="3" width="12" customWidth="1"/>
    <col min="4" max="4" width="22" customWidth="1"/>
    <col min="5" max="6" width="18" customWidth="1"/>
    <col min="7" max="7" width="16" customWidth="1"/>
    <col min="8" max="8" width="18" customWidth="1"/>
    <col min="9" max="9" width="14" customWidth="1"/>
    <col min="10" max="10" width="40" customWidth="1"/>
  </cols>
  <sheetData>
    <row r="1" spans="1:10" ht="24" customHeight="1" x14ac:dyDescent="0.35">
      <c r="A1" s="35" t="s">
        <v>131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6" customHeight="1" x14ac:dyDescent="0.35">
      <c r="A2" s="36" t="s">
        <v>132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44" customHeight="1" x14ac:dyDescent="0.35">
      <c r="A3" s="3" t="s">
        <v>133</v>
      </c>
      <c r="B3" s="3" t="s">
        <v>134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  <c r="I3" s="3" t="s">
        <v>141</v>
      </c>
      <c r="J3" s="3" t="s">
        <v>118</v>
      </c>
    </row>
    <row r="4" spans="1:10" ht="38" customHeight="1" x14ac:dyDescent="0.35">
      <c r="A4" s="19" t="s">
        <v>142</v>
      </c>
      <c r="B4" s="19" t="s">
        <v>112</v>
      </c>
      <c r="C4" s="19">
        <v>18</v>
      </c>
      <c r="D4" s="19" t="s">
        <v>143</v>
      </c>
      <c r="E4" s="19">
        <v>25.2</v>
      </c>
      <c r="F4" s="19">
        <v>2.4</v>
      </c>
      <c r="G4" s="19" t="s">
        <v>144</v>
      </c>
      <c r="H4" s="19" t="s">
        <v>100</v>
      </c>
      <c r="I4" s="19" t="s">
        <v>97</v>
      </c>
      <c r="J4" s="19" t="s">
        <v>145</v>
      </c>
    </row>
    <row r="5" spans="1:10" ht="38" customHeight="1" x14ac:dyDescent="0.35">
      <c r="A5" s="20" t="s">
        <v>146</v>
      </c>
      <c r="B5" s="20" t="s">
        <v>112</v>
      </c>
      <c r="C5" s="20">
        <v>18</v>
      </c>
      <c r="D5" s="20" t="s">
        <v>147</v>
      </c>
      <c r="E5" s="20">
        <v>12.8</v>
      </c>
      <c r="F5" s="20">
        <v>923</v>
      </c>
      <c r="G5" s="20" t="s">
        <v>148</v>
      </c>
      <c r="H5" s="20" t="s">
        <v>149</v>
      </c>
      <c r="I5" s="20" t="s">
        <v>94</v>
      </c>
      <c r="J5" s="20" t="s">
        <v>150</v>
      </c>
    </row>
    <row r="6" spans="1:10" ht="38" customHeight="1" x14ac:dyDescent="0.35">
      <c r="A6" s="19" t="s">
        <v>151</v>
      </c>
      <c r="B6" s="19" t="s">
        <v>152</v>
      </c>
      <c r="C6" s="19">
        <v>18</v>
      </c>
      <c r="D6" s="19" t="s">
        <v>153</v>
      </c>
      <c r="E6" s="19">
        <v>34.1</v>
      </c>
      <c r="F6" s="19">
        <v>154</v>
      </c>
      <c r="G6" s="19" t="s">
        <v>154</v>
      </c>
      <c r="H6" s="19" t="s">
        <v>149</v>
      </c>
      <c r="I6" s="19" t="s">
        <v>94</v>
      </c>
      <c r="J6" s="19" t="s">
        <v>155</v>
      </c>
    </row>
    <row r="7" spans="1:10" ht="38" customHeight="1" x14ac:dyDescent="0.35">
      <c r="A7" s="20" t="s">
        <v>156</v>
      </c>
      <c r="B7" s="20" t="s">
        <v>112</v>
      </c>
      <c r="C7" s="20">
        <v>18</v>
      </c>
      <c r="D7" s="20" t="s">
        <v>147</v>
      </c>
      <c r="E7" s="20">
        <v>10.199999999999999</v>
      </c>
      <c r="F7" s="20">
        <v>29</v>
      </c>
      <c r="G7" s="20" t="s">
        <v>157</v>
      </c>
      <c r="H7" s="20" t="s">
        <v>103</v>
      </c>
      <c r="I7" s="20" t="s">
        <v>97</v>
      </c>
      <c r="J7" s="20" t="s">
        <v>158</v>
      </c>
    </row>
    <row r="8" spans="1:10" ht="38" customHeight="1" x14ac:dyDescent="0.35">
      <c r="A8" s="19" t="s">
        <v>159</v>
      </c>
      <c r="B8" s="19" t="s">
        <v>112</v>
      </c>
      <c r="C8" s="19">
        <v>18</v>
      </c>
      <c r="D8" s="19" t="s">
        <v>147</v>
      </c>
      <c r="E8" s="19">
        <v>72</v>
      </c>
      <c r="F8" s="19">
        <v>492</v>
      </c>
      <c r="G8" s="19" t="s">
        <v>160</v>
      </c>
      <c r="H8" s="19" t="s">
        <v>149</v>
      </c>
      <c r="I8" s="19" t="s">
        <v>97</v>
      </c>
      <c r="J8" s="19" t="s">
        <v>161</v>
      </c>
    </row>
    <row r="9" spans="1:10" ht="38" customHeight="1" x14ac:dyDescent="0.35">
      <c r="A9" s="20" t="s">
        <v>162</v>
      </c>
      <c r="B9" s="20" t="s">
        <v>163</v>
      </c>
      <c r="C9" s="20">
        <v>6</v>
      </c>
      <c r="D9" s="20" t="s">
        <v>147</v>
      </c>
      <c r="E9" s="20">
        <v>761</v>
      </c>
      <c r="F9" s="20">
        <v>1911</v>
      </c>
      <c r="G9" s="20" t="s">
        <v>164</v>
      </c>
      <c r="H9" s="20" t="s">
        <v>103</v>
      </c>
      <c r="I9" s="20" t="s">
        <v>94</v>
      </c>
      <c r="J9" s="20" t="s">
        <v>165</v>
      </c>
    </row>
    <row r="10" spans="1:10" ht="38" customHeight="1" x14ac:dyDescent="0.35">
      <c r="A10" s="19" t="s">
        <v>166</v>
      </c>
      <c r="B10" s="19" t="s">
        <v>167</v>
      </c>
      <c r="C10" s="19">
        <v>18</v>
      </c>
      <c r="D10" s="19" t="s">
        <v>168</v>
      </c>
      <c r="E10" s="19">
        <v>2.5</v>
      </c>
      <c r="F10" s="19">
        <v>382</v>
      </c>
      <c r="G10" s="19" t="s">
        <v>169</v>
      </c>
      <c r="H10" s="19" t="s">
        <v>170</v>
      </c>
      <c r="I10" s="19" t="s">
        <v>94</v>
      </c>
      <c r="J10" s="19" t="s">
        <v>171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5309"/>
  </sheetPr>
  <dimension ref="A1:K7"/>
  <sheetViews>
    <sheetView showGridLines="0" workbookViewId="0"/>
  </sheetViews>
  <sheetFormatPr defaultRowHeight="14.5" x14ac:dyDescent="0.35"/>
  <cols>
    <col min="1" max="1" width="10" customWidth="1"/>
    <col min="2" max="2" width="20" customWidth="1"/>
    <col min="3" max="3" width="12" customWidth="1"/>
    <col min="4" max="4" width="36" customWidth="1"/>
    <col min="5" max="7" width="32" customWidth="1"/>
    <col min="8" max="8" width="14" customWidth="1"/>
    <col min="9" max="9" width="16" customWidth="1"/>
    <col min="10" max="10" width="22" customWidth="1"/>
    <col min="11" max="11" width="20" customWidth="1"/>
  </cols>
  <sheetData>
    <row r="1" spans="1:11" ht="24" customHeight="1" x14ac:dyDescent="0.35">
      <c r="A1" s="35" t="s">
        <v>172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52" customHeight="1" x14ac:dyDescent="0.35">
      <c r="A2" s="3" t="s">
        <v>173</v>
      </c>
      <c r="B2" s="3" t="s">
        <v>174</v>
      </c>
      <c r="C2" s="3" t="s">
        <v>175</v>
      </c>
      <c r="D2" s="3" t="s">
        <v>176</v>
      </c>
      <c r="E2" s="3" t="s">
        <v>177</v>
      </c>
      <c r="F2" s="3" t="s">
        <v>178</v>
      </c>
      <c r="G2" s="3" t="s">
        <v>179</v>
      </c>
      <c r="H2" s="3" t="s">
        <v>180</v>
      </c>
      <c r="I2" s="3" t="s">
        <v>181</v>
      </c>
      <c r="J2" s="3" t="s">
        <v>182</v>
      </c>
      <c r="K2" s="3" t="s">
        <v>183</v>
      </c>
    </row>
    <row r="3" spans="1:11" ht="52" customHeight="1" x14ac:dyDescent="0.35">
      <c r="A3" s="19" t="s">
        <v>106</v>
      </c>
      <c r="B3" s="19" t="s">
        <v>184</v>
      </c>
      <c r="C3" s="19"/>
      <c r="D3" s="19" t="s">
        <v>185</v>
      </c>
      <c r="E3" s="19" t="s">
        <v>186</v>
      </c>
      <c r="F3" s="19" t="s">
        <v>187</v>
      </c>
      <c r="G3" s="19" t="s">
        <v>188</v>
      </c>
      <c r="H3" s="19" t="s">
        <v>94</v>
      </c>
      <c r="I3" s="19" t="s">
        <v>94</v>
      </c>
      <c r="J3" s="19" t="s">
        <v>189</v>
      </c>
      <c r="K3" s="19" t="s">
        <v>190</v>
      </c>
    </row>
    <row r="4" spans="1:11" ht="52" customHeight="1" x14ac:dyDescent="0.35">
      <c r="A4" s="20" t="s">
        <v>104</v>
      </c>
      <c r="B4" s="20" t="s">
        <v>191</v>
      </c>
      <c r="C4" s="20"/>
      <c r="D4" s="20"/>
      <c r="E4" s="20"/>
      <c r="F4" s="20"/>
      <c r="G4" s="20"/>
      <c r="H4" s="20" t="s">
        <v>94</v>
      </c>
      <c r="I4" s="20" t="s">
        <v>94</v>
      </c>
      <c r="J4" s="20" t="s">
        <v>192</v>
      </c>
      <c r="K4" s="20" t="s">
        <v>193</v>
      </c>
    </row>
    <row r="5" spans="1:11" ht="52" customHeight="1" x14ac:dyDescent="0.35">
      <c r="A5" s="19" t="s">
        <v>194</v>
      </c>
      <c r="B5" s="19" t="s">
        <v>195</v>
      </c>
      <c r="C5" s="19"/>
      <c r="D5" s="19"/>
      <c r="E5" s="19"/>
      <c r="F5" s="19"/>
      <c r="G5" s="19"/>
      <c r="H5" s="19" t="s">
        <v>94</v>
      </c>
      <c r="I5" s="19" t="s">
        <v>94</v>
      </c>
      <c r="J5" s="19" t="s">
        <v>196</v>
      </c>
      <c r="K5" s="19" t="s">
        <v>193</v>
      </c>
    </row>
    <row r="6" spans="1:11" ht="52" customHeight="1" x14ac:dyDescent="0.35">
      <c r="A6" s="20" t="s">
        <v>197</v>
      </c>
      <c r="B6" s="20" t="s">
        <v>198</v>
      </c>
      <c r="C6" s="20"/>
      <c r="D6" s="20"/>
      <c r="E6" s="20"/>
      <c r="F6" s="20"/>
      <c r="G6" s="20"/>
      <c r="H6" s="20" t="s">
        <v>94</v>
      </c>
      <c r="I6" s="20" t="s">
        <v>94</v>
      </c>
      <c r="J6" s="20" t="s">
        <v>199</v>
      </c>
      <c r="K6" s="20" t="s">
        <v>193</v>
      </c>
    </row>
    <row r="7" spans="1:11" ht="52" customHeight="1" x14ac:dyDescent="0.35">
      <c r="A7" s="19" t="s">
        <v>200</v>
      </c>
      <c r="B7" s="19" t="s">
        <v>201</v>
      </c>
      <c r="C7" s="19"/>
      <c r="D7" s="19"/>
      <c r="E7" s="19"/>
      <c r="F7" s="19"/>
      <c r="G7" s="19"/>
      <c r="H7" s="19" t="s">
        <v>94</v>
      </c>
      <c r="I7" s="19" t="s">
        <v>94</v>
      </c>
      <c r="J7" s="19" t="s">
        <v>202</v>
      </c>
      <c r="K7" s="19" t="s">
        <v>193</v>
      </c>
    </row>
  </sheetData>
  <mergeCells count="1">
    <mergeCell ref="A1:K1"/>
  </mergeCells>
  <dataValidations count="1">
    <dataValidation type="list" sqref="K3:K30" xr:uid="{00000000-0002-0000-0400-000000000000}">
      <formula1>"Not started,Reading now ▶,Read — notes done,Data extracted,Post drafted,Post published"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7280"/>
  </sheetPr>
  <dimension ref="A1:D20"/>
  <sheetViews>
    <sheetView showGridLines="0" workbookViewId="0"/>
  </sheetViews>
  <sheetFormatPr defaultRowHeight="14.5" x14ac:dyDescent="0.35"/>
  <cols>
    <col min="1" max="1" width="22" customWidth="1"/>
    <col min="2" max="2" width="60" customWidth="1"/>
    <col min="3" max="3" width="24" customWidth="1"/>
    <col min="4" max="4" width="38" customWidth="1"/>
  </cols>
  <sheetData>
    <row r="1" spans="1:4" ht="24" customHeight="1" x14ac:dyDescent="0.35">
      <c r="A1" s="35" t="s">
        <v>203</v>
      </c>
      <c r="B1" s="23"/>
      <c r="C1" s="23"/>
      <c r="D1" s="23"/>
    </row>
    <row r="2" spans="1:4" ht="24" customHeight="1" x14ac:dyDescent="0.35">
      <c r="A2" s="21" t="s">
        <v>204</v>
      </c>
      <c r="B2" s="21" t="s">
        <v>205</v>
      </c>
      <c r="C2" s="21" t="s">
        <v>206</v>
      </c>
      <c r="D2" s="21" t="s">
        <v>207</v>
      </c>
    </row>
    <row r="3" spans="1:4" ht="36" customHeight="1" x14ac:dyDescent="0.35">
      <c r="A3" s="19" t="s">
        <v>208</v>
      </c>
      <c r="B3" s="19" t="s">
        <v>209</v>
      </c>
      <c r="C3" s="19" t="s">
        <v>210</v>
      </c>
      <c r="D3" s="19" t="s">
        <v>211</v>
      </c>
    </row>
    <row r="4" spans="1:4" ht="36" customHeight="1" x14ac:dyDescent="0.35">
      <c r="A4" s="20" t="s">
        <v>212</v>
      </c>
      <c r="B4" s="20" t="s">
        <v>213</v>
      </c>
      <c r="C4" s="20" t="s">
        <v>210</v>
      </c>
      <c r="D4" s="20" t="s">
        <v>214</v>
      </c>
    </row>
    <row r="5" spans="1:4" ht="36" customHeight="1" x14ac:dyDescent="0.35">
      <c r="A5" s="19" t="s">
        <v>215</v>
      </c>
      <c r="B5" s="19" t="s">
        <v>216</v>
      </c>
      <c r="C5" s="19" t="s">
        <v>217</v>
      </c>
      <c r="D5" s="19" t="s">
        <v>218</v>
      </c>
    </row>
    <row r="6" spans="1:4" ht="36" customHeight="1" x14ac:dyDescent="0.35">
      <c r="A6" s="20" t="s">
        <v>219</v>
      </c>
      <c r="B6" s="20" t="s">
        <v>220</v>
      </c>
      <c r="C6" s="20" t="s">
        <v>217</v>
      </c>
      <c r="D6" s="20"/>
    </row>
    <row r="7" spans="1:4" ht="36" customHeight="1" x14ac:dyDescent="0.35">
      <c r="A7" s="19" t="s">
        <v>221</v>
      </c>
      <c r="B7" s="19" t="s">
        <v>222</v>
      </c>
      <c r="C7" s="19" t="s">
        <v>223</v>
      </c>
      <c r="D7" s="19" t="s">
        <v>224</v>
      </c>
    </row>
    <row r="8" spans="1:4" ht="36" customHeight="1" x14ac:dyDescent="0.35">
      <c r="A8" s="20" t="s">
        <v>96</v>
      </c>
      <c r="B8" s="20" t="s">
        <v>225</v>
      </c>
      <c r="C8" s="20" t="s">
        <v>226</v>
      </c>
      <c r="D8" s="20"/>
    </row>
    <row r="9" spans="1:4" ht="36" customHeight="1" x14ac:dyDescent="0.35">
      <c r="A9" s="19" t="s">
        <v>227</v>
      </c>
      <c r="B9" s="19" t="s">
        <v>228</v>
      </c>
      <c r="C9" s="19" t="s">
        <v>226</v>
      </c>
      <c r="D9" s="19"/>
    </row>
    <row r="10" spans="1:4" ht="36" customHeight="1" x14ac:dyDescent="0.35">
      <c r="A10" s="20" t="s">
        <v>229</v>
      </c>
      <c r="B10" s="20" t="s">
        <v>230</v>
      </c>
      <c r="C10" s="20" t="s">
        <v>226</v>
      </c>
      <c r="D10" s="20"/>
    </row>
    <row r="11" spans="1:4" ht="36" customHeight="1" x14ac:dyDescent="0.35">
      <c r="A11" s="19" t="s">
        <v>231</v>
      </c>
      <c r="B11" s="19" t="s">
        <v>232</v>
      </c>
      <c r="C11" s="19" t="s">
        <v>233</v>
      </c>
      <c r="D11" s="19"/>
    </row>
    <row r="12" spans="1:4" ht="36" customHeight="1" x14ac:dyDescent="0.35">
      <c r="A12" s="20" t="s">
        <v>234</v>
      </c>
      <c r="B12" s="20" t="s">
        <v>235</v>
      </c>
      <c r="C12" s="20" t="s">
        <v>236</v>
      </c>
      <c r="D12" s="20"/>
    </row>
    <row r="13" spans="1:4" ht="36" customHeight="1" x14ac:dyDescent="0.35">
      <c r="A13" s="19" t="s">
        <v>99</v>
      </c>
      <c r="B13" s="19" t="s">
        <v>237</v>
      </c>
      <c r="C13" s="19" t="s">
        <v>238</v>
      </c>
      <c r="D13" s="19" t="s">
        <v>194</v>
      </c>
    </row>
    <row r="14" spans="1:4" ht="36" customHeight="1" x14ac:dyDescent="0.35">
      <c r="A14" s="20" t="s">
        <v>95</v>
      </c>
      <c r="B14" s="20" t="s">
        <v>239</v>
      </c>
      <c r="C14" s="20" t="s">
        <v>238</v>
      </c>
      <c r="D14" s="20" t="s">
        <v>194</v>
      </c>
    </row>
    <row r="15" spans="1:4" ht="36" customHeight="1" x14ac:dyDescent="0.35">
      <c r="A15" s="19" t="s">
        <v>240</v>
      </c>
      <c r="B15" s="19" t="s">
        <v>241</v>
      </c>
      <c r="C15" s="19" t="s">
        <v>242</v>
      </c>
      <c r="D15" s="19" t="s">
        <v>243</v>
      </c>
    </row>
    <row r="16" spans="1:4" ht="36" customHeight="1" x14ac:dyDescent="0.35">
      <c r="A16" s="20" t="s">
        <v>244</v>
      </c>
      <c r="B16" s="20" t="s">
        <v>245</v>
      </c>
      <c r="C16" s="20" t="s">
        <v>246</v>
      </c>
      <c r="D16" s="20" t="s">
        <v>247</v>
      </c>
    </row>
    <row r="17" spans="1:4" ht="36" customHeight="1" x14ac:dyDescent="0.35">
      <c r="A17" s="19" t="s">
        <v>201</v>
      </c>
      <c r="B17" s="19" t="s">
        <v>248</v>
      </c>
      <c r="C17" s="19" t="s">
        <v>249</v>
      </c>
      <c r="D17" s="19" t="s">
        <v>250</v>
      </c>
    </row>
    <row r="18" spans="1:4" ht="36" customHeight="1" x14ac:dyDescent="0.35">
      <c r="A18" s="20" t="s">
        <v>251</v>
      </c>
      <c r="B18" s="20" t="s">
        <v>252</v>
      </c>
      <c r="C18" s="20" t="s">
        <v>217</v>
      </c>
      <c r="D18" s="20" t="s">
        <v>253</v>
      </c>
    </row>
    <row r="19" spans="1:4" ht="36" customHeight="1" x14ac:dyDescent="0.35">
      <c r="A19" s="19" t="s">
        <v>254</v>
      </c>
      <c r="B19" s="19" t="s">
        <v>255</v>
      </c>
      <c r="C19" s="19" t="s">
        <v>256</v>
      </c>
      <c r="D19" s="19" t="s">
        <v>257</v>
      </c>
    </row>
    <row r="20" spans="1:4" ht="36" customHeight="1" x14ac:dyDescent="0.35">
      <c r="A20" s="20" t="s">
        <v>258</v>
      </c>
      <c r="B20" s="20" t="s">
        <v>259</v>
      </c>
      <c r="C20" s="20" t="s">
        <v>246</v>
      </c>
      <c r="D20" s="20" t="s">
        <v>260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 — How to Use</vt:lpstr>
      <vt:lpstr>H2 Colour Data</vt:lpstr>
      <vt:lpstr>Cost Trends</vt:lpstr>
      <vt:lpstr>Water Stress — Siting</vt:lpstr>
      <vt:lpstr>Paper Extraction Log</vt:lpstr>
      <vt:lpstr>Glossary &amp;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sahil.m1703@gmail.com</cp:lastModifiedBy>
  <dcterms:created xsi:type="dcterms:W3CDTF">2026-05-14T13:18:24Z</dcterms:created>
  <dcterms:modified xsi:type="dcterms:W3CDTF">2026-07-02T07:48:26Z</dcterms:modified>
</cp:coreProperties>
</file>